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</sheets>
  <definedNames>
    <definedName name="_xlnm.Print_Area" localSheetId="0">'ROI Calculator'!$A$1:$H$28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#,##0%"/>
  </numFmts>
  <fonts count="16">
    <font>
      <name val="Calibri"/>
      <family val="2"/>
      <color theme="1"/>
      <sz val="11"/>
      <scheme val="minor"/>
    </font>
    <font>
      <name val="Calibri"/>
      <b val="1"/>
      <color rgb="001A1A2E"/>
      <sz val="2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003399"/>
      <sz val="12"/>
    </font>
    <font>
      <name val="Calibri"/>
      <b val="1"/>
      <color rgb="00000000"/>
      <sz val="12"/>
    </font>
    <font>
      <name val="Calibri"/>
      <b val="1"/>
      <color rgb="00333333"/>
      <sz val="11"/>
    </font>
    <font>
      <name val="Calibri"/>
      <color rgb="00000000"/>
      <sz val="12"/>
    </font>
    <font>
      <name val="Calibri"/>
      <b val="1"/>
      <sz val="12"/>
    </font>
    <font>
      <name val="Calibri"/>
      <b val="1"/>
      <color rgb="00006600"/>
      <sz val="14"/>
    </font>
    <font>
      <name val="Calibri"/>
      <b val="1"/>
      <color rgb="00003399"/>
      <sz val="16"/>
    </font>
    <font>
      <name val="Calibri"/>
      <b val="1"/>
      <color rgb="00003399"/>
      <sz val="14"/>
    </font>
    <font>
      <name val="Calibri"/>
      <b val="1"/>
      <color rgb="001A1A2E"/>
      <sz val="16"/>
    </font>
    <font>
      <name val="Calibri"/>
      <i val="1"/>
      <color rgb="00999999"/>
      <sz val="9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9E6"/>
        <bgColor rgb="00FFF9E6"/>
      </patternFill>
    </fill>
    <fill>
      <patternFill patternType="solid">
        <fgColor rgb="00E8F0FE"/>
        <bgColor rgb="00E8F0FE"/>
      </patternFill>
    </fill>
    <fill>
      <patternFill patternType="solid">
        <fgColor rgb="00F0F7E6"/>
        <bgColor rgb="00F0F7E6"/>
      </patternFill>
    </fill>
    <fill>
      <patternFill patternType="solid">
        <fgColor rgb="00E6F4EA"/>
        <bgColor rgb="00E6F4EA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medium">
        <color rgb="001A1A2E"/>
      </bottom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11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12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12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0" fillId="7" borderId="3" pivotButton="0" quotePrefix="0" xfId="0"/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B2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5" customWidth="1" min="4" max="4"/>
    <col width="35" customWidth="1" min="5" max="5"/>
    <col width="22" customWidth="1" min="6" max="6"/>
    <col width="22" customWidth="1" min="7" max="7"/>
    <col width="3" customWidth="1" min="8" max="8"/>
  </cols>
  <sheetData>
    <row r="2" ht="40" customHeight="1">
      <c r="B2" s="1" t="inlineStr">
        <is>
          <t>BuildMyBot — ROI Calculator</t>
        </is>
      </c>
    </row>
    <row r="3" ht="22" customHeight="1">
      <c r="B3" s="2" t="inlineStr">
        <is>
          <t>See how much revenue an AI chatbot and voice agent can recover for your business.</t>
        </is>
      </c>
    </row>
    <row r="5" ht="30" customHeight="1">
      <c r="B5" s="3" t="inlineStr">
        <is>
          <t>YOUR BUSINESS INPUTS</t>
        </is>
      </c>
      <c r="C5" s="4" t="n"/>
      <c r="E5" s="3" t="inlineStr">
        <is>
          <t>SIDE-BY-SIDE COMPARISON</t>
        </is>
      </c>
      <c r="F5" s="4" t="n"/>
      <c r="G5" s="4" t="n"/>
    </row>
    <row r="6" ht="20" customHeight="1">
      <c r="B6" s="2" t="inlineStr">
        <is>
          <t>Edit the blue values below to match your business</t>
        </is>
      </c>
    </row>
    <row r="7" ht="26" customHeight="1">
      <c r="E7" s="5" t="inlineStr">
        <is>
          <t>Metric</t>
        </is>
      </c>
      <c r="F7" s="6" t="inlineStr">
        <is>
          <t>Current State</t>
        </is>
      </c>
      <c r="G7" s="6" t="inlineStr">
        <is>
          <t>With BuildMyBot</t>
        </is>
      </c>
    </row>
    <row r="8" ht="26" customHeight="1">
      <c r="B8" s="7" t="inlineStr">
        <is>
          <t>Monthly website leads</t>
        </is>
      </c>
      <c r="C8" s="8" t="n">
        <v>200</v>
      </c>
      <c r="E8" s="9" t="inlineStr">
        <is>
          <t>Monthly web leads</t>
        </is>
      </c>
      <c r="F8" s="10">
        <f>C8</f>
        <v/>
      </c>
      <c r="G8" s="11">
        <f>C8</f>
        <v/>
      </c>
    </row>
    <row r="9" ht="26" customHeight="1">
      <c r="B9" s="7" t="inlineStr">
        <is>
          <t>Average deal value ($)</t>
        </is>
      </c>
      <c r="C9" s="12" t="n">
        <v>1500</v>
      </c>
      <c r="E9" s="9" t="inlineStr">
        <is>
          <t>Close rate</t>
        </is>
      </c>
      <c r="F9" s="13">
        <f>C10</f>
        <v/>
      </c>
      <c r="G9" s="14">
        <f>C10*(1+C20)</f>
        <v/>
      </c>
    </row>
    <row r="10" ht="26" customHeight="1">
      <c r="B10" s="7" t="inlineStr">
        <is>
          <t>Current close rate (%)</t>
        </is>
      </c>
      <c r="C10" s="15" t="n">
        <v>0.1</v>
      </c>
      <c r="E10" s="9" t="inlineStr">
        <is>
          <t>Monthly web revenue</t>
        </is>
      </c>
      <c r="F10" s="16">
        <f>C8*C9*C10</f>
        <v/>
      </c>
      <c r="G10" s="17">
        <f>C8*C9*C10*(1+C20)</f>
        <v/>
      </c>
    </row>
    <row r="11" ht="26" customHeight="1">
      <c r="B11" s="7" t="inlineStr">
        <is>
          <t>Missed calls per week</t>
        </is>
      </c>
      <c r="C11" s="8" t="n">
        <v>15</v>
      </c>
      <c r="E11" s="9" t="inlineStr">
        <is>
          <t>Missed calls recovered / month</t>
        </is>
      </c>
      <c r="F11" s="10" t="n">
        <v>0</v>
      </c>
      <c r="G11" s="11">
        <f>C11*4.33</f>
        <v/>
      </c>
    </row>
    <row r="12" ht="26" customHeight="1">
      <c r="B12" s="7" t="inlineStr">
        <is>
          <t>Average value per phone lead ($)</t>
        </is>
      </c>
      <c r="C12" s="12" t="n">
        <v>800</v>
      </c>
      <c r="E12" s="9" t="inlineStr">
        <is>
          <t>Revenue from recovered calls</t>
        </is>
      </c>
      <c r="F12" s="16" t="n">
        <v>0</v>
      </c>
      <c r="G12" s="17">
        <f>C22</f>
        <v/>
      </c>
    </row>
    <row r="13" ht="26" customHeight="1">
      <c r="B13" s="7" t="inlineStr">
        <is>
          <t>Current receptionist cost ($/month)</t>
        </is>
      </c>
      <c r="C13" s="12" t="n">
        <v>3500</v>
      </c>
      <c r="E13" s="9" t="inlineStr">
        <is>
          <t>Monthly receptionist cost</t>
        </is>
      </c>
      <c r="F13" s="16">
        <f>C13</f>
        <v/>
      </c>
      <c r="G13" s="17">
        <f>C14</f>
        <v/>
      </c>
    </row>
    <row r="14" ht="26" customHeight="1">
      <c r="B14" s="7" t="inlineStr">
        <is>
          <t>BuildMyBot subscription ($/month)</t>
        </is>
      </c>
      <c r="C14" s="12" t="n">
        <v>499</v>
      </c>
      <c r="E14" s="9" t="inlineStr">
        <is>
          <t>Total monthly revenue</t>
        </is>
      </c>
      <c r="F14" s="16">
        <f>C8*C9*C10</f>
        <v/>
      </c>
      <c r="G14" s="17">
        <f>C8*C9*C10*(1+C20)+C22</f>
        <v/>
      </c>
    </row>
    <row r="15" ht="26" customHeight="1">
      <c r="E15" s="9" t="inlineStr">
        <is>
          <t>Monthly cost</t>
        </is>
      </c>
      <c r="F15" s="16">
        <f>C13</f>
        <v/>
      </c>
      <c r="G15" s="17">
        <f>C14</f>
        <v/>
      </c>
    </row>
    <row r="16" ht="30" customHeight="1">
      <c r="B16" s="3" t="inlineStr">
        <is>
          <t>CALCULATIONS</t>
        </is>
      </c>
      <c r="C16" s="4" t="n"/>
    </row>
    <row r="17" ht="30" customHeight="1">
      <c r="E17" s="3" t="inlineStr">
        <is>
          <t>THE BOTTOM LINE</t>
        </is>
      </c>
      <c r="F17" s="4" t="n"/>
      <c r="G17" s="4" t="n"/>
    </row>
    <row r="18" ht="28" customHeight="1">
      <c r="B18" s="7" t="inlineStr">
        <is>
          <t>Current monthly revenue (web leads)</t>
        </is>
      </c>
      <c r="C18" s="18">
        <f>C8*C9*C10</f>
        <v/>
      </c>
    </row>
    <row r="19" ht="32" customHeight="1">
      <c r="B19" s="7" t="inlineStr">
        <is>
          <t>Monthly missed-call revenue lost</t>
        </is>
      </c>
      <c r="C19" s="18">
        <f>C11*4.33*C12*C10</f>
        <v/>
      </c>
      <c r="E19" s="19" t="inlineStr">
        <is>
          <t>Net additional monthly revenue</t>
        </is>
      </c>
      <c r="F19" s="20">
        <f>C23</f>
        <v/>
      </c>
      <c r="G19" s="21" t="n"/>
    </row>
    <row r="20" ht="32" customHeight="1">
      <c r="B20" s="7" t="inlineStr">
        <is>
          <t>AI chatbot conversion lift (%)</t>
        </is>
      </c>
      <c r="C20" s="15" t="n">
        <v>0.35</v>
      </c>
      <c r="E20" s="19" t="inlineStr">
        <is>
          <t>Monthly receptionist savings</t>
        </is>
      </c>
      <c r="F20" s="20">
        <f>C13-C14</f>
        <v/>
      </c>
      <c r="G20" s="21" t="n"/>
    </row>
    <row r="21" ht="36" customHeight="1">
      <c r="B21" s="7" t="inlineStr">
        <is>
          <t>Additional monthly web revenue (with AI)</t>
        </is>
      </c>
      <c r="C21" s="18">
        <f>C8*C9*C10*C20</f>
        <v/>
      </c>
      <c r="E21" s="19" t="inlineStr">
        <is>
          <t>Total monthly financial impact</t>
        </is>
      </c>
      <c r="F21" s="22">
        <f>C23+(C13-C14)</f>
        <v/>
      </c>
      <c r="G21" s="23" t="n"/>
    </row>
    <row r="22" ht="32" customHeight="1">
      <c r="B22" s="7" t="inlineStr">
        <is>
          <t>Monthly revenue recovered (voice agent)</t>
        </is>
      </c>
      <c r="C22" s="18">
        <f>C11*4.33*C12*C10</f>
        <v/>
      </c>
      <c r="E22" s="19" t="inlineStr">
        <is>
          <t>Projected annual impact</t>
        </is>
      </c>
      <c r="F22" s="24">
        <f>(C23+(C13-C14))*12</f>
        <v/>
      </c>
      <c r="G22" s="23" t="n"/>
    </row>
    <row r="23" ht="32" customHeight="1">
      <c r="B23" s="7" t="inlineStr">
        <is>
          <t>Total additional monthly revenue</t>
        </is>
      </c>
      <c r="C23" s="25">
        <f>C21+C22</f>
        <v/>
      </c>
      <c r="E23" s="19" t="inlineStr">
        <is>
          <t>Return on investment (monthly)</t>
        </is>
      </c>
      <c r="F23" s="26">
        <f>IF(C14=0,0,(C23+(C13-C14))/C14)</f>
        <v/>
      </c>
      <c r="G23" s="23" t="n"/>
    </row>
    <row r="24" ht="28" customHeight="1">
      <c r="B24" s="7" t="inlineStr">
        <is>
          <t>Monthly receptionist savings</t>
        </is>
      </c>
      <c r="C24" s="27">
        <f>C13</f>
        <v/>
      </c>
    </row>
    <row r="25" ht="44" customHeight="1">
      <c r="E25" s="28">
        <f>"BuildMyBot pays for itself in "&amp;TEXT(IF((C23+(C13-C14))=0,999,C14/((C23+(C13-C14))/30)),"0")&amp;" days"</f>
        <v/>
      </c>
      <c r="F25" s="29" t="n"/>
      <c r="G25" s="29" t="n"/>
    </row>
    <row r="27">
      <c r="B27" s="30" t="inlineStr">
        <is>
          <t>Assumptions: Missed calls recovered at same close rate. Conversion lift applies to web leads only. Adjust blue inputs to reflect your business.</t>
        </is>
      </c>
    </row>
    <row r="28">
      <c r="B28" s="31" t="inlineStr">
        <is>
          <t>www.buildmybot.app</t>
        </is>
      </c>
    </row>
  </sheetData>
  <mergeCells count="14">
    <mergeCell ref="B3:G3"/>
    <mergeCell ref="B2:G2"/>
    <mergeCell ref="F21:G21"/>
    <mergeCell ref="B16:C16"/>
    <mergeCell ref="B28:G28"/>
    <mergeCell ref="E5:G5"/>
    <mergeCell ref="B5:C5"/>
    <mergeCell ref="F19:G19"/>
    <mergeCell ref="F20:G20"/>
    <mergeCell ref="F23:G23"/>
    <mergeCell ref="B27:G27"/>
    <mergeCell ref="E17:G17"/>
    <mergeCell ref="F22:G22"/>
    <mergeCell ref="E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2026-04-28T16:55:30Z</dcterms:created>
  <dcterms:modified xmlns:dcterms="http://purl.org/dc/terms/" xmlns:xsi="http://www.w3.org/2001/XMLSchema-instance" xsi:type="dcterms:W3CDTF">2026-04-28T16:55:30Z</dcterms:modified>
</cp:coreProperties>
</file>